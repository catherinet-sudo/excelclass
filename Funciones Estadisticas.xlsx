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elseacollaborative-my.sharepoint.com/personal/catherinet_chelseacollaborative_onmicrosoft_com/Documents/Desktop/Computer Class 1/Excel/"/>
    </mc:Choice>
  </mc:AlternateContent>
  <xr:revisionPtr revIDLastSave="0" documentId="8_{87B245A3-3020-48CE-BFC2-7D0651B93459}" xr6:coauthVersionLast="47" xr6:coauthVersionMax="47" xr10:uidLastSave="{00000000-0000-0000-0000-000000000000}"/>
  <bookViews>
    <workbookView xWindow="-108" yWindow="-108" windowWidth="23256" windowHeight="12456" xr2:uid="{E9811820-DDCA-43B7-9601-FE96037673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3" i="1" l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<sst xmlns="http://schemas.openxmlformats.org/spreadsheetml/2006/main" count="19" uniqueCount="19">
  <si>
    <t>Tabla de Notas</t>
  </si>
  <si>
    <t>Cuantas Notas hay?</t>
  </si>
  <si>
    <t>Cuantas celdas sin notas hay?</t>
  </si>
  <si>
    <t>Cuantas 40 notas hay?</t>
  </si>
  <si>
    <t>Cuantas notas aprobadas hay?</t>
  </si>
  <si>
    <t>Cuantas notas desaprobadas hay?</t>
  </si>
  <si>
    <t>Cual es la maxima nota</t>
  </si>
  <si>
    <t>Cual es la nota minima?</t>
  </si>
  <si>
    <t>Cual es el promedio de las Notas?</t>
  </si>
  <si>
    <t>Cual es la mediana de las notas?</t>
  </si>
  <si>
    <t>Cual es la nota que mas se repite?</t>
  </si>
  <si>
    <t>Cual es el promedio SOLO de las notas aprobatorias</t>
  </si>
  <si>
    <t>Cual es el promedio solo de las notas desaprobatorias?</t>
  </si>
  <si>
    <t>Nota Aprobatoria &gt; 40</t>
  </si>
  <si>
    <t>Color Azul</t>
  </si>
  <si>
    <t xml:space="preserve">Nota Reprobatoria &lt;39 </t>
  </si>
  <si>
    <t>Color Rojo</t>
  </si>
  <si>
    <t>Espacios Vacios</t>
  </si>
  <si>
    <t>Amarillo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</si>
</sst>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54E12-0899-4DAC-9CBA-3DA2484A0D14}">
  <dimension ref="B2:O17"/>
  <sheetViews>
    <sheetView tabSelected="1" zoomScale="170" zoomScaleNormal="170" workbookViewId="0">
      <selection activeCell="J7" sqref="J7:M7"/>
    </sheetView>
  </sheetViews>
  <sheetFormatPr defaultRowHeight="13.2" x14ac:dyDescent="0.25"/>
  <cols>
    <col min="13" max="13" width="19.88671875" customWidth="1"/>
  </cols>
  <sheetData>
    <row r="2" spans="2:15" x14ac:dyDescent="0.25">
      <c r="B2" s="1" t="s">
        <v>0</v>
      </c>
      <c r="C2" s="1"/>
      <c r="D2" s="1"/>
      <c r="E2" s="1"/>
      <c r="F2" s="1"/>
      <c r="G2" s="1"/>
      <c r="H2" s="1"/>
      <c r="J2" s="2" t="s">
        <v>1</v>
      </c>
      <c r="K2" s="3"/>
      <c r="L2" s="3"/>
      <c r="M2" s="3"/>
      <c r="O2">
        <f>COUNT(B3:H11)</f>
        <v>56</v>
      </c>
    </row>
    <row r="3" spans="2:15" x14ac:dyDescent="0.25">
      <c r="B3" s="4">
        <v>20</v>
      </c>
      <c r="C3" s="4">
        <v>35</v>
      </c>
      <c r="D3" s="4">
        <v>48</v>
      </c>
      <c r="E3" s="4">
        <v>27</v>
      </c>
      <c r="F3" s="4">
        <v>12</v>
      </c>
      <c r="G3" s="4">
        <v>19</v>
      </c>
      <c r="H3" s="4">
        <v>42</v>
      </c>
      <c r="J3" s="2" t="s">
        <v>2</v>
      </c>
      <c r="K3" s="3"/>
      <c r="L3" s="3"/>
      <c r="M3" s="3"/>
      <c r="O3">
        <f>COUNTBLANK(B3:H11)</f>
        <v>7</v>
      </c>
    </row>
    <row r="4" spans="2:15" x14ac:dyDescent="0.25">
      <c r="B4" s="4">
        <v>38</v>
      </c>
      <c r="C4" s="4">
        <v>22</v>
      </c>
      <c r="D4" s="4"/>
      <c r="E4" s="4">
        <v>15</v>
      </c>
      <c r="F4" s="4">
        <v>31</v>
      </c>
      <c r="G4" s="4"/>
      <c r="H4" s="4">
        <v>41</v>
      </c>
      <c r="J4" s="2" t="s">
        <v>3</v>
      </c>
      <c r="K4" s="3"/>
      <c r="L4" s="3"/>
      <c r="M4" s="3"/>
      <c r="O4">
        <f>COUNTIF(B3:H11,40)</f>
        <v>2</v>
      </c>
    </row>
    <row r="5" spans="2:15" x14ac:dyDescent="0.25">
      <c r="B5" s="4">
        <v>45</v>
      </c>
      <c r="C5" s="4">
        <v>17</v>
      </c>
      <c r="D5" s="4">
        <v>49</v>
      </c>
      <c r="E5" s="4">
        <v>36</v>
      </c>
      <c r="F5" s="4">
        <v>28</v>
      </c>
      <c r="G5" s="4">
        <v>32</v>
      </c>
      <c r="H5" s="4">
        <v>50</v>
      </c>
      <c r="J5" s="2" t="s">
        <v>4</v>
      </c>
      <c r="K5" s="3"/>
      <c r="L5" s="3"/>
      <c r="M5" s="3"/>
      <c r="O5">
        <f>COUNTIF(B3:H11,"&gt;=40")</f>
        <v>20</v>
      </c>
    </row>
    <row r="6" spans="2:15" x14ac:dyDescent="0.25">
      <c r="B6" s="4">
        <v>11</v>
      </c>
      <c r="C6" s="4">
        <v>39</v>
      </c>
      <c r="D6" s="4">
        <v>25</v>
      </c>
      <c r="E6" s="4"/>
      <c r="F6" s="4">
        <v>40</v>
      </c>
      <c r="G6" s="4">
        <v>37</v>
      </c>
      <c r="H6" s="4">
        <v>42</v>
      </c>
      <c r="J6" s="2" t="s">
        <v>5</v>
      </c>
      <c r="K6" s="3"/>
      <c r="L6" s="3"/>
      <c r="M6" s="3"/>
      <c r="O6">
        <f>COUNTIF(B3:H11,"&lt;=39")</f>
        <v>36</v>
      </c>
    </row>
    <row r="7" spans="2:15" x14ac:dyDescent="0.25">
      <c r="B7" s="4">
        <v>16</v>
      </c>
      <c r="C7" s="4">
        <v>41</v>
      </c>
      <c r="D7" s="4">
        <v>33</v>
      </c>
      <c r="E7" s="4">
        <v>30</v>
      </c>
      <c r="F7" s="4">
        <v>47</v>
      </c>
      <c r="G7" s="4">
        <v>21</v>
      </c>
      <c r="H7" s="4">
        <v>28</v>
      </c>
      <c r="J7" s="2" t="s">
        <v>6</v>
      </c>
      <c r="K7" s="3"/>
      <c r="L7" s="3"/>
      <c r="M7" s="3"/>
      <c r="O7">
        <f>MAX(B3:H11)</f>
        <v>50</v>
      </c>
    </row>
    <row r="8" spans="2:15" x14ac:dyDescent="0.25">
      <c r="B8" s="4">
        <v>44</v>
      </c>
      <c r="C8" s="4"/>
      <c r="D8" s="4">
        <v>29</v>
      </c>
      <c r="E8" s="4">
        <v>34</v>
      </c>
      <c r="F8" s="4">
        <v>48</v>
      </c>
      <c r="G8" s="4">
        <v>27</v>
      </c>
      <c r="H8" s="4">
        <v>46</v>
      </c>
      <c r="J8" s="2" t="s">
        <v>7</v>
      </c>
      <c r="K8" s="3"/>
      <c r="L8" s="3"/>
      <c r="M8" s="3"/>
      <c r="O8">
        <f>MIN(B3:H11)</f>
        <v>11</v>
      </c>
    </row>
    <row r="9" spans="2:15" x14ac:dyDescent="0.25">
      <c r="B9" s="4">
        <v>23</v>
      </c>
      <c r="C9" s="4">
        <v>26</v>
      </c>
      <c r="D9" s="4">
        <v>43</v>
      </c>
      <c r="E9" s="4">
        <v>38</v>
      </c>
      <c r="F9" s="4">
        <v>50</v>
      </c>
      <c r="G9" s="4">
        <v>18</v>
      </c>
      <c r="H9" s="4">
        <v>37</v>
      </c>
      <c r="J9" s="2" t="s">
        <v>8</v>
      </c>
      <c r="K9" s="3"/>
      <c r="L9" s="3"/>
      <c r="M9" s="3"/>
      <c r="O9">
        <f>AVERAGE(B3:H11)</f>
        <v>33.446428571428569</v>
      </c>
    </row>
    <row r="10" spans="2:15" x14ac:dyDescent="0.25">
      <c r="B10" s="4">
        <v>47</v>
      </c>
      <c r="C10" s="4">
        <v>42</v>
      </c>
      <c r="D10" s="4"/>
      <c r="E10" s="4">
        <v>20</v>
      </c>
      <c r="F10" s="4"/>
      <c r="G10" s="4">
        <v>35</v>
      </c>
      <c r="H10" s="4">
        <v>39</v>
      </c>
      <c r="J10" s="2" t="s">
        <v>9</v>
      </c>
      <c r="K10" s="3"/>
      <c r="L10" s="3"/>
      <c r="M10" s="3"/>
      <c r="O10">
        <f>MEDIAN(B3:H11)</f>
        <v>35</v>
      </c>
    </row>
    <row r="11" spans="2:15" x14ac:dyDescent="0.25">
      <c r="B11" s="4">
        <v>40</v>
      </c>
      <c r="C11" s="4">
        <v>24</v>
      </c>
      <c r="D11" s="4">
        <v>18</v>
      </c>
      <c r="E11" s="4">
        <v>32</v>
      </c>
      <c r="F11" s="4">
        <v>49</v>
      </c>
      <c r="G11" s="4"/>
      <c r="H11" s="4">
        <v>47</v>
      </c>
      <c r="J11" s="2" t="s">
        <v>10</v>
      </c>
      <c r="K11" s="3"/>
      <c r="L11" s="3"/>
      <c r="M11" s="3"/>
      <c r="O11">
        <f>_xlfn.MODE.SNGL(B3:H11)</f>
        <v>42</v>
      </c>
    </row>
    <row r="12" spans="2:15" x14ac:dyDescent="0.25">
      <c r="J12" s="3" t="s">
        <v>11</v>
      </c>
      <c r="K12" s="3"/>
      <c r="L12" s="3"/>
      <c r="M12" s="3"/>
      <c r="O12">
        <f>AVERAGEIF(B3:H11,"&gt;=40")</f>
        <v>45.05</v>
      </c>
    </row>
    <row r="13" spans="2:15" x14ac:dyDescent="0.25">
      <c r="J13" s="3" t="s">
        <v>12</v>
      </c>
      <c r="K13" s="3"/>
      <c r="L13" s="3"/>
      <c r="M13" s="3"/>
      <c r="O13">
        <f>AVERAGEIF(B3:H11,"&lt;=39")</f>
        <v>27</v>
      </c>
    </row>
    <row r="15" spans="2:15" x14ac:dyDescent="0.25">
      <c r="B15" t="s">
        <v>13</v>
      </c>
      <c r="E15" t="s">
        <v>14</v>
      </c>
    </row>
    <row r="16" spans="2:15" x14ac:dyDescent="0.25">
      <c r="B16" t="s">
        <v>15</v>
      </c>
      <c r="E16" t="s">
        <v>16</v>
      </c>
    </row>
    <row r="17" spans="2:5" x14ac:dyDescent="0.25">
      <c r="B17" t="s">
        <v>17</v>
      </c>
      <c r="E17" t="s">
        <v>18</v>
      </c>
    </row>
  </sheetData>
  <mergeCells count="13">
    <mergeCell ref="J13:M13"/>
    <mergeCell ref="J7:M7"/>
    <mergeCell ref="J8:M8"/>
    <mergeCell ref="J9:M9"/>
    <mergeCell ref="J10:M10"/>
    <mergeCell ref="J11:M11"/>
    <mergeCell ref="J12:M12"/>
    <mergeCell ref="B2:H2"/>
    <mergeCell ref="J2:M2"/>
    <mergeCell ref="J3:M3"/>
    <mergeCell ref="J4:M4"/>
    <mergeCell ref="J5:M5"/>
    <mergeCell ref="J6: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Torres</dc:creator>
  <cp:lastModifiedBy>Catherine Torres</cp:lastModifiedBy>
  <dcterms:created xsi:type="dcterms:W3CDTF">2026-07-08T20:34:22Z</dcterms:created>
  <dcterms:modified xsi:type="dcterms:W3CDTF">2026-07-08T20:35:14Z</dcterms:modified>
</cp:coreProperties>
</file>